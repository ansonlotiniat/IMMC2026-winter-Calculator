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ntrolPanel" sheetId="1" r:id="rId1"/>
    <sheet name="Calculator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cols>
    <col min="1" max="1" width="26" customWidth="1"/>
    <col min="2" max="2" width="14" customWidth="1"/>
    <col min="3" max="3" width="14" customWidth="1"/>
    <col min="4" max="4" width="28" customWidth="1"/>
    <col min="5" max="5" width="12" customWidth="1"/>
    <col min="6" max="6" width="30" customWidth="1"/>
    <col min="7" max="7" width="20" customWidth="1"/>
    <col min="8" max="8" width="18" customWidth="1"/>
    <col min="12" max="12" width="26" customWidth="1"/>
    <col min="13" max="13" width="20" customWidth="1"/>
  </cols>
  <sheetData>
    <row r="1">
      <c r="A1" t="inlineStr">
        <is>
          <t>控制面板</t>
        </is>
      </c>
    </row>
    <row r="2">
      <c r="A2" t="inlineStr">
        <is>
          <t>參數</t>
        </is>
      </c>
      <c r="B2" t="inlineStr">
        <is>
          <t>數值</t>
        </is>
      </c>
      <c r="C2" t="inlineStr">
        <is>
          <t>單位</t>
        </is>
      </c>
      <c r="D2" t="inlineStr">
        <is>
          <t>說明</t>
        </is>
      </c>
      <c r="F2" t="inlineStr">
        <is>
          <t>關鍵指標</t>
        </is>
      </c>
      <c r="G2" t="inlineStr">
        <is>
          <t>數值</t>
        </is>
      </c>
      <c r="L2" t="inlineStr">
        <is>
          <t>結果</t>
        </is>
      </c>
      <c r="M2" t="inlineStr">
        <is>
          <t>數值</t>
        </is>
      </c>
    </row>
    <row r="3">
      <c r="A3" t="inlineStr">
        <is>
          <t>食品質量 m_f</t>
        </is>
      </c>
      <c r="B3">
        <v>50000</v>
      </c>
      <c r="C3" t="inlineStr">
        <is>
          <t>kg</t>
        </is>
      </c>
      <c r="D3" t="inlineStr">
        <is>
          <t>全年食品銷售量</t>
        </is>
      </c>
      <c r="F3" t="inlineStr">
        <is>
          <t>總質量 M</t>
        </is>
      </c>
      <c r="G3">
        <f>Calculator!G3</f>
      </c>
      <c r="L3" t="inlineStr">
        <is>
          <t>淨減排 (kg CO2e)</t>
        </is>
      </c>
      <c r="M3">
        <f>Calculator!G11</f>
      </c>
    </row>
    <row r="4">
      <c r="A4" t="inlineStr">
        <is>
          <t>非食品質量 m_n</t>
        </is>
      </c>
      <c r="B4">
        <v>10000</v>
      </c>
      <c r="C4" t="inlineStr">
        <is>
          <t>kg</t>
        </is>
      </c>
      <c r="D4" t="inlineStr">
        <is>
          <t>全年非食品銷售量</t>
        </is>
      </c>
      <c r="F4" t="inlineStr">
        <is>
          <t>避免排放 E_avoid</t>
        </is>
      </c>
      <c r="G4">
        <f>Calculator!G4</f>
      </c>
      <c r="L4" t="inlineStr">
        <is>
          <t>淨減排 (t CO2e)</t>
        </is>
      </c>
      <c r="M4">
        <f>Calculator!G11/1000</f>
      </c>
    </row>
    <row r="5">
      <c r="A5" t="inlineStr">
        <is>
          <t>廢棄物轉移率 α</t>
        </is>
      </c>
      <c r="B5">
        <v>0.9</v>
      </c>
      <c r="C5" t="inlineStr">
        <is>
          <t>比例</t>
        </is>
      </c>
      <c r="D5" t="inlineStr">
        <is>
          <t>0-1</t>
        </is>
      </c>
      <c r="F5" t="inlineStr">
        <is>
          <t>新增排放 E_added</t>
        </is>
      </c>
      <c r="G5">
        <f>Calculator!G10</f>
      </c>
    </row>
    <row r="6">
      <c r="A6" t="inlineStr">
        <is>
          <t>食品減排因子 ε_f</t>
        </is>
      </c>
      <c r="B6">
        <v>2.7</v>
      </c>
      <c r="C6" t="inlineStr">
        <is>
          <t>kg CO2e/kg</t>
        </is>
      </c>
      <c r="F6" t="inlineStr">
        <is>
          <t>淨減排 R_net</t>
        </is>
      </c>
      <c r="G6">
        <f>Calculator!G11</f>
      </c>
    </row>
    <row r="7">
      <c r="A7" t="inlineStr">
        <is>
          <t>非食品減排因子 ε_n</t>
        </is>
      </c>
      <c r="B7">
        <v>3.0</v>
      </c>
      <c r="C7" t="inlineStr">
        <is>
          <t>kg CO2e/kg</t>
        </is>
      </c>
    </row>
    <row r="8">
      <c r="A8" t="inlineStr">
        <is>
          <t>運輸距離 d</t>
        </is>
      </c>
      <c r="B8">
        <v>50</v>
      </c>
      <c r="C8" t="inlineStr">
        <is>
          <t>km/次</t>
        </is>
      </c>
      <c r="D8" t="inlineStr">
        <is>
          <t>往返距離</t>
        </is>
      </c>
    </row>
    <row r="9">
      <c r="A9" t="inlineStr">
        <is>
          <t>運輸次數 n</t>
        </is>
      </c>
      <c r="B9">
        <v>20</v>
      </c>
      <c r="C9" t="inlineStr">
        <is>
          <t>次/年</t>
        </is>
      </c>
    </row>
    <row r="10">
      <c r="A10" t="inlineStr">
        <is>
          <t>貨車排放因子 f_van</t>
        </is>
      </c>
      <c r="B10">
        <v>0.2</v>
      </c>
      <c r="C10" t="inlineStr">
        <is>
          <t>kg CO2e/km</t>
        </is>
      </c>
    </row>
    <row r="11">
      <c r="A11" t="inlineStr">
        <is>
          <t>歐洲進口比例 p_e</t>
        </is>
      </c>
      <c r="B11">
        <v>0.1</v>
      </c>
      <c r="C11" t="inlineStr">
        <is>
          <t>比例</t>
        </is>
      </c>
      <c r="D11" t="inlineStr">
        <is>
          <t>0-1</t>
        </is>
      </c>
    </row>
    <row r="12">
      <c r="A12" t="inlineStr">
        <is>
          <t>東南亞進口比例 p_a</t>
        </is>
      </c>
      <c r="B12">
        <v>0.3</v>
      </c>
      <c r="C12" t="inlineStr">
        <is>
          <t>比例</t>
        </is>
      </c>
      <c r="D12" t="inlineStr">
        <is>
          <t>0-1</t>
        </is>
      </c>
    </row>
    <row r="13">
      <c r="A13" t="inlineStr">
        <is>
          <t>歐洲進口因子 τ_e</t>
        </is>
      </c>
      <c r="B13">
        <v>0.8</v>
      </c>
      <c r="C13" t="inlineStr">
        <is>
          <t>kg CO2e/kg</t>
        </is>
      </c>
    </row>
    <row r="14">
      <c r="A14" t="inlineStr">
        <is>
          <t>東南亞進口因子 τ_a</t>
        </is>
      </c>
      <c r="B14">
        <v>0.4</v>
      </c>
      <c r="C14" t="inlineStr">
        <is>
          <t>kg CO2e/kg</t>
        </is>
      </c>
    </row>
    <row r="15">
      <c r="A15" t="inlineStr">
        <is>
          <t>倉儲因子 δ</t>
        </is>
      </c>
      <c r="B15">
        <v>0.05</v>
      </c>
      <c r="C15" t="inlineStr">
        <is>
          <t>kg CO2e/kg·月</t>
        </is>
      </c>
    </row>
    <row r="16">
      <c r="A16" t="inlineStr">
        <is>
          <t>倉儲時間 t_s</t>
        </is>
      </c>
      <c r="B16">
        <v>1</v>
      </c>
      <c r="C16" t="inlineStr">
        <is>
          <t>月</t>
        </is>
      </c>
    </row>
    <row r="17">
      <c r="A17" t="inlineStr">
        <is>
          <t>取貨距離 d_c</t>
        </is>
      </c>
      <c r="B17">
        <v>1</v>
      </c>
      <c r="C17" t="inlineStr">
        <is>
          <t>km</t>
        </is>
      </c>
      <c r="D17" t="inlineStr">
        <is>
          <t>往返</t>
        </is>
      </c>
    </row>
    <row r="18">
      <c r="A18" t="inlineStr">
        <is>
          <t>取貨因子 f_c</t>
        </is>
      </c>
      <c r="B18">
        <v>0.05</v>
      </c>
      <c r="C18" t="inlineStr">
        <is>
          <t>kg CO2e/km</t>
        </is>
      </c>
    </row>
    <row r="19">
      <c r="A19" t="inlineStr">
        <is>
          <t>單次購買質量 m_p</t>
        </is>
      </c>
      <c r="B19">
        <v>5</v>
      </c>
      <c r="C19" t="inlineStr">
        <is>
          <t>kg/次</t>
        </is>
      </c>
    </row>
    <row r="21">
      <c r="A21" t="inlineStr">
        <is>
          <t>啟用滑桿控制：匯入 ControlPanel.bas 並執行 BuildControlPanel</t>
        </is>
      </c>
    </row>
    <row r="22">
      <c r="A22" t="inlineStr">
        <is>
          <t>還原手動輸入：執行 RemoveControls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F1:G11"/>
  <sheetViews>
    <sheetView tabSelected="1" workbookViewId="0"/>
  </sheetViews>
  <sheetFormatPr defaultRowHeight="15"/>
  <cols>
    <col min="1" max="1" width="26" customWidth="1"/>
    <col min="2" max="2" width="14" customWidth="1"/>
    <col min="3" max="3" width="14" customWidth="1"/>
    <col min="4" max="4" width="28" customWidth="1"/>
    <col min="5" max="5" width="12" customWidth="1"/>
    <col min="6" max="6" width="30" customWidth="1"/>
    <col min="7" max="7" width="20" customWidth="1"/>
    <col min="8" max="8" width="18" customWidth="1"/>
    <col min="12" max="12" width="26" customWidth="1"/>
    <col min="13" max="13" width="20" customWidth="1"/>
  </cols>
  <sheetData>
    <row r="1">
      <c r="F1" t="inlineStr">
        <is>
          <t>計算區</t>
        </is>
      </c>
    </row>
    <row r="2">
      <c r="F2" t="inlineStr">
        <is>
          <t>計算項</t>
        </is>
      </c>
      <c r="G2" t="inlineStr">
        <is>
          <t>公式/結果</t>
        </is>
      </c>
    </row>
    <row r="3">
      <c r="F3" t="inlineStr">
        <is>
          <t>總質量 M</t>
        </is>
      </c>
      <c r="G3">
        <f>ControlPanel!B3+ControlPanel!B4</f>
      </c>
    </row>
    <row r="4">
      <c r="F4" t="inlineStr">
        <is>
          <t>避免排放 E_avoid</t>
        </is>
      </c>
      <c r="G4">
        <f>ControlPanel!B5*(ControlPanel!B6*ControlPanel!B3+ControlPanel!B7*ControlPanel!B4)</f>
      </c>
    </row>
    <row r="5">
      <c r="F5" t="inlineStr">
        <is>
          <t>本地運輸排放 E_trans,local</t>
        </is>
      </c>
      <c r="G5">
        <f>ControlPanel!B9*ControlPanel!B8*ControlPanel!B10</f>
      </c>
    </row>
    <row r="6">
      <c r="F6" t="inlineStr">
        <is>
          <t>進口運輸排放 E_trans,import</t>
        </is>
      </c>
      <c r="G6">
        <f>ControlPanel!B11*G3*ControlPanel!B13+ControlPanel!B12*G3*ControlPanel!B14</f>
      </c>
    </row>
    <row r="7">
      <c r="F7" t="inlineStr">
        <is>
          <t>總運輸排放 E_trans</t>
        </is>
      </c>
      <c r="G7">
        <f>G5+G6</f>
      </c>
    </row>
    <row r="8">
      <c r="F8" t="inlineStr">
        <is>
          <t>倉儲排放 E_store</t>
        </is>
      </c>
      <c r="G8">
        <f>ControlPanel!B15*ControlPanel!B16*ControlPanel!B3</f>
      </c>
    </row>
    <row r="9">
      <c r="F9" t="inlineStr">
        <is>
          <t>取貨排放 E_cust</t>
        </is>
      </c>
      <c r="G9">
        <f>(ControlPanel!B17*ControlPanel!B18/ControlPanel!B19)*(ControlPanel!B3+ControlPanel!B4)</f>
      </c>
    </row>
    <row r="10">
      <c r="F10" t="inlineStr">
        <is>
          <t>新增排放合計 E_added</t>
        </is>
      </c>
      <c r="G10">
        <f>G7+G8+G9</f>
      </c>
    </row>
    <row r="11">
      <c r="F11" t="inlineStr">
        <is>
          <t>淨減排 R_net</t>
        </is>
      </c>
      <c r="G11">
        <f>G4-G10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ControlPanel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Ans_template</dc:title>
  <dc:creator>Codex</dc:creator>
  <cp:lastModifiedBy>Codex</cp:lastModifiedBy>
  <dcterms:created xsi:type="dcterms:W3CDTF">2026-02-01T18:07:06Z</dcterms:created>
  <dcterms:modified xsi:type="dcterms:W3CDTF">2026-02-01T18:07:06Z</dcterms:modified>
</cp:coreProperties>
</file>